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<sst xmlns="http://schemas.openxmlformats.org/spreadsheetml/2006/main" count="87" uniqueCount="65">
  <si>
    <t xml:space="preserve">ID</t>
  </si>
  <si>
    <t xml:space="preserve">Test Case</t>
  </si>
  <si>
    <t xml:space="preserve">Method</t>
  </si>
  <si>
    <t xml:space="preserve">Endpoint</t>
  </si>
  <si>
    <t xml:space="preserve">Expected Result</t>
  </si>
  <si>
    <t xml:space="preserve">Actual Result</t>
  </si>
  <si>
    <t xml:space="preserve">Status</t>
  </si>
  <si>
    <t xml:space="preserve">Type</t>
  </si>
  <si>
    <t xml:space="preserve">TC01</t>
  </si>
  <si>
    <t xml:space="preserve">Get a single post</t>
  </si>
  <si>
    <t xml:space="preserve">GET</t>
  </si>
  <si>
    <t xml:space="preserve">/posts/1</t>
  </si>
  <si>
    <t xml:space="preserve">200; response has id, title, body</t>
  </si>
  <si>
    <t xml:space="preserve">200; id, title, body present</t>
  </si>
  <si>
    <t xml:space="preserve">Pass</t>
  </si>
  <si>
    <t xml:space="preserve">Positive</t>
  </si>
  <si>
    <t xml:space="preserve">TC02</t>
  </si>
  <si>
    <t xml:space="preserve">Get all posts</t>
  </si>
  <si>
    <t xml:space="preserve">/posts</t>
  </si>
  <si>
    <t xml:space="preserve">200; exactly 100 posts</t>
  </si>
  <si>
    <t xml:space="preserve">200; 100 posts</t>
  </si>
  <si>
    <t xml:space="preserve">TC03</t>
  </si>
  <si>
    <t xml:space="preserve">Get a post that does not exist</t>
  </si>
  <si>
    <t xml:space="preserve">/posts/9999</t>
  </si>
  <si>
    <t xml:space="preserve">404 Not Found</t>
  </si>
  <si>
    <t xml:space="preserve">Negative</t>
  </si>
  <si>
    <t xml:space="preserve">TC04</t>
  </si>
  <si>
    <t xml:space="preserve">Create a post</t>
  </si>
  <si>
    <t xml:space="preserve">POST</t>
  </si>
  <si>
    <t xml:space="preserve">201; title echoed; new id returned</t>
  </si>
  <si>
    <t xml:space="preserve">201; title echoed; id 101</t>
  </si>
  <si>
    <t xml:space="preserve">TC05</t>
  </si>
  <si>
    <t xml:space="preserve">Update a post</t>
  </si>
  <si>
    <t xml:space="preserve">PUT</t>
  </si>
  <si>
    <t xml:space="preserve">200; title updated</t>
  </si>
  <si>
    <t xml:space="preserve">TC06</t>
  </si>
  <si>
    <t xml:space="preserve">Delete a post</t>
  </si>
  <si>
    <t xml:space="preserve">DELETE</t>
  </si>
  <si>
    <t xml:space="preserve">200</t>
  </si>
  <si>
    <t xml:space="preserve">TC07</t>
  </si>
  <si>
    <t xml:space="preserve">User email is valid</t>
  </si>
  <si>
    <t xml:space="preserve">/users/1</t>
  </si>
  <si>
    <t xml:space="preserve">200; email contains @</t>
  </si>
  <si>
    <t xml:space="preserve">Data validity</t>
  </si>
  <si>
    <t xml:space="preserve">TC08</t>
  </si>
  <si>
    <t xml:space="preserve">Filter posts by user</t>
  </si>
  <si>
    <t xml:space="preserve">/posts?userId=1</t>
  </si>
  <si>
    <t xml:space="preserve">200; every post has userId 1</t>
  </si>
  <si>
    <t xml:space="preserve">200; every post has userId 1 (first run failed: request was missing ?userId=1; test corrected)</t>
  </si>
  <si>
    <t xml:space="preserve">Filter</t>
  </si>
  <si>
    <t xml:space="preserve">BUG01</t>
  </si>
  <si>
    <t xml:space="preserve">Created post can be retrieved</t>
  </si>
  <si>
    <t xml:space="preserve">POST then GET</t>
  </si>
  <si>
    <t xml:space="preserve">/posts then /posts/101</t>
  </si>
  <si>
    <t xml:space="preserve">GET returns 200 with the post</t>
  </si>
  <si>
    <t xml:space="preserve">GET returns 404 Not Found</t>
  </si>
  <si>
    <t xml:space="preserve">Fail</t>
  </si>
  <si>
    <t xml:space="preserve">Defect (observed behavior)</t>
  </si>
  <si>
    <t xml:space="preserve">Metric</t>
  </si>
  <si>
    <t xml:space="preserve">Count</t>
  </si>
  <si>
    <t xml:space="preserve">Total test cases</t>
  </si>
  <si>
    <t xml:space="preserve">Passed</t>
  </si>
  <si>
    <t xml:space="preserve">Failed (defects)</t>
  </si>
  <si>
    <t xml:space="preserve">Pass rate</t>
  </si>
  <si>
    <t xml:space="preserve">Note: BUG01 is a practice-API behavior (JSONPlaceholder does not save changes), logged as observed behavior.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</si>
</sst>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3" t="s">
        <v>14</v>
      </c>
      <c r="H3" s="2" t="s">
        <v>15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24</v>
      </c>
      <c r="G4" s="3" t="s">
        <v>14</v>
      </c>
      <c r="H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18</v>
      </c>
      <c r="E5" s="2" t="s">
        <v>29</v>
      </c>
      <c r="F5" s="2" t="s">
        <v>30</v>
      </c>
      <c r="G5" s="3" t="s">
        <v>14</v>
      </c>
      <c r="H5" s="2" t="s">
        <v>15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11</v>
      </c>
      <c r="E6" s="2" t="s">
        <v>34</v>
      </c>
      <c r="F6" s="2" t="s">
        <v>34</v>
      </c>
      <c r="G6" s="3" t="s">
        <v>14</v>
      </c>
      <c r="H6" s="2" t="s">
        <v>15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11</v>
      </c>
      <c r="E7" s="2" t="s">
        <v>38</v>
      </c>
      <c r="F7" s="2" t="s">
        <v>38</v>
      </c>
      <c r="G7" s="3" t="s">
        <v>14</v>
      </c>
      <c r="H7" s="2" t="s">
        <v>15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10</v>
      </c>
      <c r="D8" s="2" t="s">
        <v>41</v>
      </c>
      <c r="E8" s="2" t="s">
        <v>42</v>
      </c>
      <c r="F8" s="2" t="s">
        <v>42</v>
      </c>
      <c r="G8" s="3" t="s">
        <v>14</v>
      </c>
      <c r="H8" s="2" t="s">
        <v>43</v>
      </c>
    </row>
    <row r="9" customFormat="false" ht="23.85" hidden="false" customHeight="false" outlineLevel="0" collapsed="false">
      <c r="A9" s="2" t="s">
        <v>44</v>
      </c>
      <c r="B9" s="2" t="s">
        <v>45</v>
      </c>
      <c r="C9" s="2" t="s">
        <v>10</v>
      </c>
      <c r="D9" s="2" t="s">
        <v>46</v>
      </c>
      <c r="E9" s="2" t="s">
        <v>47</v>
      </c>
      <c r="F9" s="2" t="s">
        <v>48</v>
      </c>
      <c r="G9" s="3" t="s">
        <v>14</v>
      </c>
      <c r="H9" s="2" t="s">
        <v>49</v>
      </c>
    </row>
    <row r="10" customFormat="false" ht="23.8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4" t="s">
        <v>56</v>
      </c>
      <c r="H10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58</v>
      </c>
      <c r="B1" s="5" t="s">
        <v>59</v>
      </c>
    </row>
    <row r="2" customFormat="false" ht="15" hidden="false" customHeight="false" outlineLevel="0" collapsed="false">
      <c r="A2" s="6" t="s">
        <v>60</v>
      </c>
      <c r="B2" s="6" t="n">
        <f aca="false">COUNTA('Test Cases'!A2:A10)</f>
        <v>9</v>
      </c>
    </row>
    <row r="3" customFormat="false" ht="15" hidden="false" customHeight="false" outlineLevel="0" collapsed="false">
      <c r="A3" s="6" t="s">
        <v>61</v>
      </c>
      <c r="B3" s="6" t="n">
        <f aca="false">COUNTIF('Test Cases'!G2:G10,"Pass")</f>
        <v>8</v>
      </c>
    </row>
    <row r="4" customFormat="false" ht="15" hidden="false" customHeight="false" outlineLevel="0" collapsed="false">
      <c r="A4" s="6" t="s">
        <v>62</v>
      </c>
      <c r="B4" s="6" t="n">
        <f aca="false">COUNTIF('Test Cases'!G2:G10,"Fail")</f>
        <v>1</v>
      </c>
    </row>
    <row r="5" customFormat="false" ht="15" hidden="false" customHeight="false" outlineLevel="0" collapsed="false">
      <c r="A5" s="6" t="s">
        <v>63</v>
      </c>
      <c r="B5" s="7" t="n">
        <f aca="false">B3/B2</f>
        <v>0.888888888888889</v>
      </c>
    </row>
    <row r="6" customFormat="false" ht="15" hidden="false" customHeight="false" outlineLevel="0" collapsed="false">
      <c r="A6" s="6"/>
      <c r="B6" s="6"/>
    </row>
    <row r="7" customFormat="false" ht="15" hidden="false" customHeight="false" outlineLevel="0" collapsed="false">
      <c r="A7" s="6" t="s">
        <v>64</v>
      </c>
      <c r="B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2026-09-28T12:46:09Z</dcterms:created>
  <dc:creator>openpyxl</dc:creator>
  <dc:description/>
  <dc:language>en-US</dc:language>
  <cp:lastModifiedBy/>
  <dcterms:modified xsi:type="dcterms:W3CDTF">2026-09-28T12:46:09Z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